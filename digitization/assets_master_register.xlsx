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1"/>
  <workbookPr defaultThemeVersion="202300"/>
  <mc:AlternateContent xmlns:mc="http://schemas.openxmlformats.org/markup-compatibility/2006">
    <mc:Choice Requires="x15">
      <x15ac:absPath xmlns:x15ac="http://schemas.microsoft.com/office/spreadsheetml/2010/11/ac" url="C:\laragon\www\transition-tracker\digitization\"/>
    </mc:Choice>
  </mc:AlternateContent>
  <xr:revisionPtr revIDLastSave="0" documentId="13_ncr:1_{C6BDA35B-AF8F-41C7-AC0F-82BC9079B779}" xr6:coauthVersionLast="47" xr6:coauthVersionMax="47" xr10:uidLastSave="{00000000-0000-0000-0000-000000000000}"/>
  <bookViews>
    <workbookView xWindow="-108" yWindow="-108" windowWidth="23256" windowHeight="12456" xr2:uid="{EDC364A3-E731-42DF-A246-31CA2C6ED95F}"/>
  </bookViews>
  <sheets>
    <sheet name="assets_master_regist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7" i="1" l="1"/>
  <c r="T6" i="1"/>
  <c r="T5" i="1"/>
  <c r="T4" i="1"/>
  <c r="T3" i="1"/>
  <c r="T2" i="1"/>
</calcChain>
</file>

<file path=xl/sharedStrings.xml><?xml version="1.0" encoding="utf-8"?>
<sst xmlns="http://schemas.openxmlformats.org/spreadsheetml/2006/main" count="132" uniqueCount="81">
  <si>
    <t>Laptop</t>
  </si>
  <si>
    <t>L12611</t>
  </si>
  <si>
    <t>Computer and ICT Accessories</t>
  </si>
  <si>
    <t>HP Probook 430 G4</t>
  </si>
  <si>
    <t>5CD71608QM</t>
  </si>
  <si>
    <t>430 G4</t>
  </si>
  <si>
    <t>Stawisha</t>
  </si>
  <si>
    <t>Donation</t>
  </si>
  <si>
    <t>Pathfinder International</t>
  </si>
  <si>
    <t>TITUS TSUMA</t>
  </si>
  <si>
    <t>KILIFI</t>
  </si>
  <si>
    <t>GANZE</t>
  </si>
  <si>
    <t>GANZE HEALTH CENTRE</t>
  </si>
  <si>
    <t>CCC</t>
  </si>
  <si>
    <t>Good</t>
  </si>
  <si>
    <t>L06494</t>
  </si>
  <si>
    <t>HP Probook</t>
  </si>
  <si>
    <t>5CD71608QQ</t>
  </si>
  <si>
    <t>ALPHEEN ATIENO</t>
  </si>
  <si>
    <t>L09068</t>
  </si>
  <si>
    <t>PROBOOK 430 G4</t>
  </si>
  <si>
    <t>5CD7126C4L</t>
  </si>
  <si>
    <t>EMMA MBEYU</t>
  </si>
  <si>
    <t>MAGHARINI</t>
  </si>
  <si>
    <t>GONGONI HEALTH CENTRE</t>
  </si>
  <si>
    <t>GOOD</t>
  </si>
  <si>
    <t>L11357</t>
  </si>
  <si>
    <t>ELITEBOOK</t>
  </si>
  <si>
    <t>5CG8214LC1</t>
  </si>
  <si>
    <t>840 G4</t>
  </si>
  <si>
    <t>MARIA MWIWAWI</t>
  </si>
  <si>
    <t>KILIFI NORTH</t>
  </si>
  <si>
    <t>KILFI COUNTY HOSPITAL</t>
  </si>
  <si>
    <t>DATA ROOM</t>
  </si>
  <si>
    <t>L11346</t>
  </si>
  <si>
    <t>5CG8214LGK</t>
  </si>
  <si>
    <t>LYDIA TUNJE</t>
  </si>
  <si>
    <t>Printer</t>
  </si>
  <si>
    <t>L06373</t>
  </si>
  <si>
    <t>HP Laserjet Printer</t>
  </si>
  <si>
    <t>VNCPK01317</t>
  </si>
  <si>
    <t>MFP M130FN</t>
  </si>
  <si>
    <t>FACILITY IN-CHARGE</t>
  </si>
  <si>
    <t>CCC Data Office</t>
  </si>
  <si>
    <t>asset_name</t>
  </si>
  <si>
    <t>tag_name</t>
  </si>
  <si>
    <t xml:space="preserve">asset_category
</t>
  </si>
  <si>
    <t>description</t>
  </si>
  <si>
    <t>serial_number</t>
  </si>
  <si>
    <t>model</t>
  </si>
  <si>
    <t>project_name</t>
  </si>
  <si>
    <t xml:space="preserve">acquisition_name
</t>
  </si>
  <si>
    <t>date_of_acquisition</t>
  </si>
  <si>
    <t>age_at_time_of_acquisition</t>
  </si>
  <si>
    <t>quantity</t>
  </si>
  <si>
    <t>total_cost</t>
  </si>
  <si>
    <t>name_of_user</t>
  </si>
  <si>
    <t>facility_name</t>
  </si>
  <si>
    <t>county_name</t>
  </si>
  <si>
    <t>sub_county_name</t>
  </si>
  <si>
    <t>department_name</t>
  </si>
  <si>
    <t>service_level</t>
  </si>
  <si>
    <t>current_condition</t>
  </si>
  <si>
    <t>date_of_verification</t>
  </si>
  <si>
    <t>date_of_disposal</t>
  </si>
  <si>
    <t>comments</t>
  </si>
  <si>
    <t>Comments</t>
  </si>
  <si>
    <t>purchase_value</t>
  </si>
  <si>
    <t>current_value</t>
  </si>
  <si>
    <t>dig_funder_name</t>
  </si>
  <si>
    <t>issue_date</t>
  </si>
  <si>
    <t>#</t>
  </si>
  <si>
    <t>depreciation_percentage</t>
  </si>
  <si>
    <t>end_date</t>
  </si>
  <si>
    <t>lpo_number</t>
  </si>
  <si>
    <t>PO-12345</t>
  </si>
  <si>
    <t>PO-12346</t>
  </si>
  <si>
    <t>PO-12348</t>
  </si>
  <si>
    <t>PO-12349</t>
  </si>
  <si>
    <t>PO-12350</t>
  </si>
  <si>
    <t>LVCT-12347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</si>
</sst>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5" formatCode="[$]d\ mmm\ yyyy;@" x16r2:formatCode16="[$-en-KE,1]d\ mmm\ yyyy;@"/>
    <numFmt numFmtId="168" formatCode="yyyy\-mm\-dd;@"/>
    <numFmt numFmtId="170" formatCode="0.0"/>
  </numFmts>
  <fonts count="7" x14ac:knownFonts="1">
    <font>
      <sz val="11"/>
      <color theme="1"/>
      <name val="Aptos Narrow"/>
      <family val="2"/>
      <scheme val="minor"/>
    </font>
    <font>
      <sz val="11"/>
      <color theme="1"/>
      <name val="Aptos Narrow"/>
      <family val="2"/>
      <scheme val="minor"/>
    </font>
    <font>
      <sz val="10"/>
      <color rgb="FF000000"/>
      <name val="Arial"/>
      <family val="2"/>
    </font>
    <font>
      <b/>
      <sz val="10"/>
      <name val="Arial"/>
      <family val="2"/>
    </font>
    <font>
      <sz val="8"/>
      <name val="Arial"/>
      <family val="2"/>
    </font>
    <font>
      <sz val="10"/>
      <name val="Arial"/>
      <family val="2"/>
    </font>
    <font>
      <sz val="8"/>
      <name val="Aptos Narrow"/>
      <family val="2"/>
      <scheme val="minor"/>
    </font>
  </fonts>
  <fills count="3">
    <fill>
      <patternFill patternType="none"/>
    </fill>
    <fill>
      <patternFill patternType="gray125"/>
    </fill>
    <fill>
      <patternFill patternType="solid">
        <fgColor theme="0" tint="-0.499984740745262"/>
        <bgColor indexed="64"/>
      </patternFill>
    </fill>
  </fills>
  <borders count="6">
    <border>
      <left/>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2" fillId="0" borderId="0"/>
    <xf numFmtId="0" fontId="4" fillId="0" borderId="0"/>
    <xf numFmtId="0" fontId="1" fillId="0" borderId="0"/>
  </cellStyleXfs>
  <cellXfs count="24">
    <xf numFmtId="0" fontId="0" fillId="0" borderId="0" xfId="0"/>
    <xf numFmtId="1" fontId="3" fillId="2" borderId="1" xfId="2" applyNumberFormat="1" applyFont="1" applyFill="1" applyBorder="1" applyAlignment="1">
      <alignment horizontal="left" vertical="center" wrapText="1"/>
    </xf>
    <xf numFmtId="0" fontId="3" fillId="2" borderId="2" xfId="2" applyFont="1" applyFill="1" applyBorder="1" applyAlignment="1">
      <alignment horizontal="center" vertical="center" wrapText="1"/>
    </xf>
    <xf numFmtId="0" fontId="3" fillId="2" borderId="3" xfId="2" applyFont="1" applyFill="1" applyBorder="1" applyAlignment="1">
      <alignment horizontal="center" vertical="center" wrapText="1"/>
    </xf>
    <xf numFmtId="49" fontId="3" fillId="2" borderId="4" xfId="2" applyNumberFormat="1" applyFont="1" applyFill="1" applyBorder="1" applyAlignment="1">
      <alignment horizontal="center" vertical="center" wrapText="1"/>
    </xf>
    <xf numFmtId="0" fontId="3" fillId="2" borderId="4" xfId="2" applyFont="1" applyFill="1" applyBorder="1" applyAlignment="1">
      <alignment horizontal="center" vertical="center" wrapText="1"/>
    </xf>
    <xf numFmtId="49" fontId="3" fillId="2" borderId="3" xfId="2" applyNumberFormat="1" applyFont="1" applyFill="1" applyBorder="1" applyAlignment="1">
      <alignment horizontal="center" vertical="center" wrapText="1"/>
    </xf>
    <xf numFmtId="43" fontId="3" fillId="2" borderId="4" xfId="1" applyFont="1" applyFill="1" applyBorder="1" applyAlignment="1">
      <alignment horizontal="center" vertical="center" wrapText="1"/>
    </xf>
    <xf numFmtId="165" fontId="3" fillId="2" borderId="4" xfId="2" applyNumberFormat="1" applyFont="1" applyFill="1" applyBorder="1" applyAlignment="1">
      <alignment horizontal="center" vertical="center" wrapText="1"/>
    </xf>
    <xf numFmtId="49" fontId="3" fillId="2" borderId="4" xfId="2" applyNumberFormat="1" applyFont="1" applyFill="1" applyBorder="1" applyAlignment="1">
      <alignment vertical="center" wrapText="1"/>
    </xf>
    <xf numFmtId="1" fontId="5" fillId="0" borderId="5" xfId="3" applyNumberFormat="1" applyFont="1" applyBorder="1" applyAlignment="1">
      <alignment horizontal="left" vertical="center" wrapText="1"/>
    </xf>
    <xf numFmtId="15" fontId="5" fillId="0" borderId="5" xfId="3" applyNumberFormat="1" applyFont="1" applyBorder="1" applyAlignment="1">
      <alignment horizontal="left" vertical="center" wrapText="1"/>
    </xf>
    <xf numFmtId="0" fontId="5" fillId="0" borderId="5" xfId="2" applyFont="1" applyBorder="1" applyAlignment="1">
      <alignment horizontal="center" vertical="center" wrapText="1"/>
    </xf>
    <xf numFmtId="17" fontId="5" fillId="0" borderId="5" xfId="4" applyNumberFormat="1" applyFont="1" applyBorder="1" applyAlignment="1">
      <alignment horizontal="center" vertical="center" wrapText="1"/>
    </xf>
    <xf numFmtId="0" fontId="5" fillId="0" borderId="5" xfId="2" applyFont="1" applyBorder="1" applyAlignment="1">
      <alignment horizontal="left" vertical="center" wrapText="1"/>
    </xf>
    <xf numFmtId="15" fontId="5" fillId="0" borderId="5" xfId="3" applyNumberFormat="1" applyFont="1" applyBorder="1" applyAlignment="1">
      <alignment horizontal="center" vertical="center" wrapText="1"/>
    </xf>
    <xf numFmtId="49" fontId="5" fillId="0" borderId="5" xfId="4" applyNumberFormat="1" applyFont="1" applyBorder="1" applyAlignment="1">
      <alignment horizontal="center" vertical="center" wrapText="1"/>
    </xf>
    <xf numFmtId="0" fontId="5" fillId="0" borderId="5" xfId="3" applyFont="1" applyBorder="1" applyAlignment="1">
      <alignment horizontal="center" vertical="center" wrapText="1"/>
    </xf>
    <xf numFmtId="43" fontId="5" fillId="0" borderId="5" xfId="1" applyFont="1" applyBorder="1" applyAlignment="1">
      <alignment horizontal="center" vertical="center" wrapText="1"/>
    </xf>
    <xf numFmtId="0" fontId="5" fillId="0" borderId="5" xfId="2" applyFont="1" applyBorder="1" applyAlignment="1">
      <alignment vertical="center" wrapText="1"/>
    </xf>
    <xf numFmtId="0" fontId="5" fillId="0" borderId="5" xfId="2" applyFont="1" applyBorder="1" applyAlignment="1">
      <alignment horizontal="left" vertical="center"/>
    </xf>
    <xf numFmtId="168" fontId="5" fillId="0" borderId="5" xfId="3" applyNumberFormat="1" applyFont="1" applyBorder="1" applyAlignment="1">
      <alignment horizontal="center" vertical="center" wrapText="1"/>
    </xf>
    <xf numFmtId="0" fontId="3" fillId="2" borderId="0" xfId="2" applyFont="1" applyFill="1" applyBorder="1" applyAlignment="1">
      <alignment horizontal="center" vertical="center" wrapText="1"/>
    </xf>
    <xf numFmtId="170" fontId="5" fillId="0" borderId="5" xfId="3" applyNumberFormat="1" applyFont="1" applyBorder="1" applyAlignment="1">
      <alignment horizontal="center" vertical="center" wrapText="1"/>
    </xf>
  </cellXfs>
  <cellStyles count="5">
    <cellStyle name="Comma" xfId="1" builtinId="3"/>
    <cellStyle name="Normal" xfId="0" builtinId="0"/>
    <cellStyle name="Normal 2" xfId="3" xr:uid="{BBCFF392-9257-4241-B4A5-17903EF735FC}"/>
    <cellStyle name="Normal 3 2 4 2 2" xfId="4" xr:uid="{977A98F9-68ED-4D29-BCF8-0A700ED12386}"/>
    <cellStyle name="Normal 5" xfId="2" xr:uid="{B7DF9FF0-6011-426D-BDD4-8DB636EFE8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4027C-2EEB-46C2-BF46-AF26816328C7}">
  <dimension ref="A1:AD7"/>
  <sheetViews>
    <sheetView tabSelected="1" topLeftCell="N1" workbookViewId="0">
      <selection activeCell="O10" sqref="O10"/>
    </sheetView>
  </sheetViews>
  <sheetFormatPr defaultColWidth="20.88671875" defaultRowHeight="14.4" x14ac:dyDescent="0.3"/>
  <cols>
    <col min="1" max="1" width="5.77734375" customWidth="1"/>
    <col min="8" max="8" width="28.88671875" customWidth="1"/>
    <col min="10" max="10" width="24.33203125" customWidth="1"/>
  </cols>
  <sheetData>
    <row r="1" spans="1:30" ht="26.4" x14ac:dyDescent="0.3">
      <c r="A1" s="1" t="s">
        <v>71</v>
      </c>
      <c r="B1" s="2" t="s">
        <v>44</v>
      </c>
      <c r="C1" s="3" t="s">
        <v>46</v>
      </c>
      <c r="D1" s="3" t="s">
        <v>47</v>
      </c>
      <c r="E1" s="5" t="s">
        <v>49</v>
      </c>
      <c r="F1" s="4" t="s">
        <v>48</v>
      </c>
      <c r="G1" s="4" t="s">
        <v>52</v>
      </c>
      <c r="H1" s="6" t="s">
        <v>53</v>
      </c>
      <c r="I1" s="7" t="s">
        <v>67</v>
      </c>
      <c r="J1" s="22" t="s">
        <v>72</v>
      </c>
      <c r="K1" s="7" t="s">
        <v>68</v>
      </c>
      <c r="L1" s="4" t="s">
        <v>70</v>
      </c>
      <c r="M1" s="6" t="s">
        <v>73</v>
      </c>
      <c r="N1" s="3" t="s">
        <v>45</v>
      </c>
      <c r="O1" s="5" t="s">
        <v>50</v>
      </c>
      <c r="P1" s="5" t="s">
        <v>51</v>
      </c>
      <c r="Q1" s="3" t="s">
        <v>69</v>
      </c>
      <c r="R1" s="6" t="s">
        <v>74</v>
      </c>
      <c r="S1" s="5" t="s">
        <v>54</v>
      </c>
      <c r="T1" s="7" t="s">
        <v>55</v>
      </c>
      <c r="U1" s="5" t="s">
        <v>56</v>
      </c>
      <c r="V1" s="4" t="s">
        <v>58</v>
      </c>
      <c r="W1" s="4" t="s">
        <v>59</v>
      </c>
      <c r="X1" s="4" t="s">
        <v>57</v>
      </c>
      <c r="Y1" s="4" t="s">
        <v>61</v>
      </c>
      <c r="Z1" s="4" t="s">
        <v>60</v>
      </c>
      <c r="AA1" s="4" t="s">
        <v>62</v>
      </c>
      <c r="AB1" s="4" t="s">
        <v>63</v>
      </c>
      <c r="AC1" s="8" t="s">
        <v>64</v>
      </c>
      <c r="AD1" s="9" t="s">
        <v>65</v>
      </c>
    </row>
    <row r="2" spans="1:30" ht="26.4" x14ac:dyDescent="0.3">
      <c r="A2" s="10">
        <v>1</v>
      </c>
      <c r="B2" s="11" t="s">
        <v>0</v>
      </c>
      <c r="C2" s="13" t="s">
        <v>2</v>
      </c>
      <c r="D2" s="14" t="s">
        <v>3</v>
      </c>
      <c r="E2" s="14" t="s">
        <v>5</v>
      </c>
      <c r="F2" s="14" t="s">
        <v>4</v>
      </c>
      <c r="G2" s="15">
        <v>44378</v>
      </c>
      <c r="H2" s="23">
        <v>4</v>
      </c>
      <c r="I2" s="18">
        <v>73259.460000000006</v>
      </c>
      <c r="J2" s="11"/>
      <c r="K2" s="18"/>
      <c r="L2" s="21">
        <v>44315</v>
      </c>
      <c r="M2" s="21"/>
      <c r="N2" s="12" t="s">
        <v>1</v>
      </c>
      <c r="O2" s="15" t="s">
        <v>6</v>
      </c>
      <c r="P2" s="15" t="s">
        <v>7</v>
      </c>
      <c r="Q2" s="13" t="s">
        <v>8</v>
      </c>
      <c r="R2" s="16" t="s">
        <v>75</v>
      </c>
      <c r="S2" s="17">
        <v>1</v>
      </c>
      <c r="T2" s="18">
        <f>I2*S2</f>
        <v>73259.460000000006</v>
      </c>
      <c r="U2" s="15" t="s">
        <v>9</v>
      </c>
      <c r="V2" s="15" t="s">
        <v>10</v>
      </c>
      <c r="W2" s="15" t="s">
        <v>11</v>
      </c>
      <c r="X2" s="15" t="s">
        <v>12</v>
      </c>
      <c r="Y2" s="15"/>
      <c r="Z2" s="15" t="s">
        <v>13</v>
      </c>
      <c r="AA2" s="15" t="s">
        <v>14</v>
      </c>
      <c r="AB2" s="21">
        <v>46141</v>
      </c>
      <c r="AC2" s="21">
        <v>46141</v>
      </c>
      <c r="AD2" s="19" t="s">
        <v>66</v>
      </c>
    </row>
    <row r="3" spans="1:30" ht="26.4" x14ac:dyDescent="0.3">
      <c r="A3" s="10">
        <v>2</v>
      </c>
      <c r="B3" s="11" t="s">
        <v>0</v>
      </c>
      <c r="C3" s="13" t="s">
        <v>2</v>
      </c>
      <c r="D3" s="14" t="s">
        <v>16</v>
      </c>
      <c r="E3" s="14" t="s">
        <v>5</v>
      </c>
      <c r="F3" s="14" t="s">
        <v>17</v>
      </c>
      <c r="G3" s="15">
        <v>44378</v>
      </c>
      <c r="H3" s="23">
        <v>4</v>
      </c>
      <c r="I3" s="18">
        <v>73259.460000000006</v>
      </c>
      <c r="J3" s="11"/>
      <c r="K3" s="18"/>
      <c r="L3" s="21">
        <v>44316</v>
      </c>
      <c r="M3" s="21"/>
      <c r="N3" s="12" t="s">
        <v>15</v>
      </c>
      <c r="O3" s="15" t="s">
        <v>6</v>
      </c>
      <c r="P3" s="15" t="s">
        <v>7</v>
      </c>
      <c r="Q3" s="13" t="s">
        <v>8</v>
      </c>
      <c r="R3" s="16" t="s">
        <v>76</v>
      </c>
      <c r="S3" s="17">
        <v>1</v>
      </c>
      <c r="T3" s="18">
        <f>I3*S3</f>
        <v>73259.460000000006</v>
      </c>
      <c r="U3" s="15" t="s">
        <v>18</v>
      </c>
      <c r="V3" s="15" t="s">
        <v>10</v>
      </c>
      <c r="W3" s="15" t="s">
        <v>11</v>
      </c>
      <c r="X3" s="15" t="s">
        <v>12</v>
      </c>
      <c r="Y3" s="15"/>
      <c r="Z3" s="15" t="s">
        <v>13</v>
      </c>
      <c r="AA3" s="15" t="s">
        <v>14</v>
      </c>
      <c r="AB3" s="21">
        <v>46141</v>
      </c>
      <c r="AC3" s="21">
        <v>46142</v>
      </c>
      <c r="AD3" s="19" t="s">
        <v>66</v>
      </c>
    </row>
    <row r="4" spans="1:30" ht="26.4" x14ac:dyDescent="0.3">
      <c r="A4" s="10">
        <v>3</v>
      </c>
      <c r="B4" s="11" t="s">
        <v>0</v>
      </c>
      <c r="C4" s="13" t="s">
        <v>2</v>
      </c>
      <c r="D4" s="14" t="s">
        <v>20</v>
      </c>
      <c r="E4" s="14" t="s">
        <v>5</v>
      </c>
      <c r="F4" s="14" t="s">
        <v>21</v>
      </c>
      <c r="G4" s="15">
        <v>44378</v>
      </c>
      <c r="H4" s="23">
        <v>4</v>
      </c>
      <c r="I4" s="18">
        <v>73259.460000000006</v>
      </c>
      <c r="J4" s="11"/>
      <c r="K4" s="18"/>
      <c r="L4" s="21">
        <v>44317</v>
      </c>
      <c r="M4" s="21"/>
      <c r="N4" s="12" t="s">
        <v>19</v>
      </c>
      <c r="O4" s="15" t="s">
        <v>6</v>
      </c>
      <c r="P4" s="15" t="s">
        <v>7</v>
      </c>
      <c r="Q4" s="13" t="s">
        <v>8</v>
      </c>
      <c r="R4" s="16" t="s">
        <v>80</v>
      </c>
      <c r="S4" s="17">
        <v>1</v>
      </c>
      <c r="T4" s="18">
        <f>I4*S4</f>
        <v>73259.460000000006</v>
      </c>
      <c r="U4" s="15" t="s">
        <v>22</v>
      </c>
      <c r="V4" s="15" t="s">
        <v>10</v>
      </c>
      <c r="W4" s="15" t="s">
        <v>23</v>
      </c>
      <c r="X4" s="15" t="s">
        <v>24</v>
      </c>
      <c r="Y4" s="15"/>
      <c r="Z4" s="15" t="s">
        <v>13</v>
      </c>
      <c r="AA4" s="15" t="s">
        <v>25</v>
      </c>
      <c r="AB4" s="21">
        <v>46141</v>
      </c>
      <c r="AC4" s="21">
        <v>46143</v>
      </c>
      <c r="AD4" s="19" t="s">
        <v>66</v>
      </c>
    </row>
    <row r="5" spans="1:30" ht="26.4" x14ac:dyDescent="0.3">
      <c r="A5" s="10">
        <v>4</v>
      </c>
      <c r="B5" s="11" t="s">
        <v>0</v>
      </c>
      <c r="C5" s="13" t="s">
        <v>2</v>
      </c>
      <c r="D5" s="14" t="s">
        <v>27</v>
      </c>
      <c r="E5" s="14" t="s">
        <v>29</v>
      </c>
      <c r="F5" s="14" t="s">
        <v>28</v>
      </c>
      <c r="G5" s="15">
        <v>44378</v>
      </c>
      <c r="H5" s="23">
        <v>3</v>
      </c>
      <c r="I5" s="18">
        <v>105522</v>
      </c>
      <c r="J5" s="11"/>
      <c r="K5" s="18"/>
      <c r="L5" s="21">
        <v>44318</v>
      </c>
      <c r="M5" s="21"/>
      <c r="N5" s="12" t="s">
        <v>26</v>
      </c>
      <c r="O5" s="15" t="s">
        <v>6</v>
      </c>
      <c r="P5" s="15" t="s">
        <v>7</v>
      </c>
      <c r="Q5" s="13" t="s">
        <v>8</v>
      </c>
      <c r="R5" s="16" t="s">
        <v>77</v>
      </c>
      <c r="S5" s="17">
        <v>1</v>
      </c>
      <c r="T5" s="18">
        <f>I5*S5</f>
        <v>105522</v>
      </c>
      <c r="U5" s="15" t="s">
        <v>30</v>
      </c>
      <c r="V5" s="15" t="s">
        <v>10</v>
      </c>
      <c r="W5" s="15" t="s">
        <v>31</v>
      </c>
      <c r="X5" s="15" t="s">
        <v>32</v>
      </c>
      <c r="Y5" s="15"/>
      <c r="Z5" s="15" t="s">
        <v>33</v>
      </c>
      <c r="AA5" s="15" t="s">
        <v>25</v>
      </c>
      <c r="AB5" s="21">
        <v>46141</v>
      </c>
      <c r="AC5" s="21">
        <v>46144</v>
      </c>
      <c r="AD5" s="19" t="s">
        <v>66</v>
      </c>
    </row>
    <row r="6" spans="1:30" ht="26.4" x14ac:dyDescent="0.3">
      <c r="A6" s="10">
        <v>5</v>
      </c>
      <c r="B6" s="11" t="s">
        <v>0</v>
      </c>
      <c r="C6" s="13" t="s">
        <v>2</v>
      </c>
      <c r="D6" s="14" t="s">
        <v>27</v>
      </c>
      <c r="E6" s="14" t="s">
        <v>29</v>
      </c>
      <c r="F6" s="14" t="s">
        <v>35</v>
      </c>
      <c r="G6" s="15">
        <v>44378</v>
      </c>
      <c r="H6" s="23">
        <v>2</v>
      </c>
      <c r="I6" s="18">
        <v>105522</v>
      </c>
      <c r="J6" s="11"/>
      <c r="K6" s="18"/>
      <c r="L6" s="21">
        <v>44319</v>
      </c>
      <c r="M6" s="21"/>
      <c r="N6" s="12" t="s">
        <v>34</v>
      </c>
      <c r="O6" s="15" t="s">
        <v>6</v>
      </c>
      <c r="P6" s="15" t="s">
        <v>7</v>
      </c>
      <c r="Q6" s="13" t="s">
        <v>8</v>
      </c>
      <c r="R6" s="16" t="s">
        <v>78</v>
      </c>
      <c r="S6" s="17">
        <v>1</v>
      </c>
      <c r="T6" s="18">
        <f>I6*S6</f>
        <v>105522</v>
      </c>
      <c r="U6" s="15" t="s">
        <v>36</v>
      </c>
      <c r="V6" s="15" t="s">
        <v>10</v>
      </c>
      <c r="W6" s="15" t="s">
        <v>31</v>
      </c>
      <c r="X6" s="15" t="s">
        <v>32</v>
      </c>
      <c r="Y6" s="15"/>
      <c r="Z6" s="15" t="s">
        <v>33</v>
      </c>
      <c r="AA6" s="15" t="s">
        <v>25</v>
      </c>
      <c r="AB6" s="21">
        <v>46141</v>
      </c>
      <c r="AC6" s="21">
        <v>46145</v>
      </c>
      <c r="AD6" s="19" t="s">
        <v>66</v>
      </c>
    </row>
    <row r="7" spans="1:30" ht="26.4" x14ac:dyDescent="0.3">
      <c r="A7" s="10">
        <v>6</v>
      </c>
      <c r="B7" s="11" t="s">
        <v>37</v>
      </c>
      <c r="C7" s="13" t="s">
        <v>2</v>
      </c>
      <c r="D7" s="14" t="s">
        <v>39</v>
      </c>
      <c r="E7" s="20" t="s">
        <v>41</v>
      </c>
      <c r="F7" s="20" t="s">
        <v>40</v>
      </c>
      <c r="G7" s="15">
        <v>44378</v>
      </c>
      <c r="H7" s="23">
        <v>0</v>
      </c>
      <c r="I7" s="18"/>
      <c r="J7" s="11"/>
      <c r="K7" s="18"/>
      <c r="L7" s="21">
        <v>44320</v>
      </c>
      <c r="M7" s="21"/>
      <c r="N7" s="12" t="s">
        <v>38</v>
      </c>
      <c r="O7" s="15" t="s">
        <v>6</v>
      </c>
      <c r="P7" s="15" t="s">
        <v>7</v>
      </c>
      <c r="Q7" s="13" t="s">
        <v>8</v>
      </c>
      <c r="R7" s="16" t="s">
        <v>79</v>
      </c>
      <c r="S7" s="17">
        <v>1</v>
      </c>
      <c r="T7" s="18">
        <f>I7*S7</f>
        <v>0</v>
      </c>
      <c r="U7" s="15" t="s">
        <v>42</v>
      </c>
      <c r="V7" s="15" t="s">
        <v>10</v>
      </c>
      <c r="W7" s="15" t="s">
        <v>31</v>
      </c>
      <c r="X7" s="15" t="s">
        <v>32</v>
      </c>
      <c r="Y7" s="15"/>
      <c r="Z7" s="15" t="s">
        <v>43</v>
      </c>
      <c r="AA7" s="15" t="s">
        <v>14</v>
      </c>
      <c r="AB7" s="21">
        <v>46141</v>
      </c>
      <c r="AC7" s="21">
        <v>46146</v>
      </c>
      <c r="AD7" s="19" t="s">
        <v>66</v>
      </c>
    </row>
  </sheetData>
  <phoneticPr fontId="6" type="noConversion"/>
  <dataValidations count="11">
    <dataValidation allowBlank="1" showInputMessage="1" showErrorMessage="1" promptTitle="Total Cost " prompt="Enter the total cost of the item at the time it was purchased using the currency of purchase (column Q).  Do not include related costs such as shipping or insurance." sqref="T2:T7" xr:uid="{8EBCAB34-E4E1-4BC7-B0E9-327109FB2FFB}"/>
    <dataValidation allowBlank="1" showInputMessage="1" showErrorMessage="1" promptTitle="Vendor/Supplier Name (Source)" prompt="If item was purchased enter the name of the vendor that it was purchased from. If item was transfered from a previous MSH project enter the name of the previous project. If item was transfered directly from the donor enter the donor name. Etc." sqref="Q2:Q7" xr:uid="{BC2D7223-618B-425C-B623-50FBE6D02467}"/>
    <dataValidation allowBlank="1" showInputMessage="1" showErrorMessage="1" promptTitle="Date of Reporting" prompt="Enter the date on which the location (column S) and condition (column T) of the item were verified." sqref="L2:M7 U2:AC7" xr:uid="{9F2F0A06-C731-4270-9599-A7A94D1A6F5A}"/>
    <dataValidation allowBlank="1" showInputMessage="1" showErrorMessage="1" promptTitle="Date of Purchase or Acquisition" prompt=" If item was purchased by this project/COMU, enter the date the order was issued. If item was received  by this project/COMU via donation or transfer from another MSH project or a third party, enter the date the item was received by this project/COMU. " sqref="G2:G7" xr:uid="{9942D586-AF89-456B-B837-7AAE9AC3355B}"/>
    <dataValidation allowBlank="1" showInputMessage="1" showErrorMessage="1" promptTitle="Item#/Tag#" prompt="All tangible property must be labeled with a unique inventory number. Enter the inventory number EXACTLY as it appears on the MSH inventory tag affixed to the property. For software, which cannot be labeled, enter 'N/A'" sqref="N2:N7" xr:uid="{F3566E25-BCFD-4926-AD46-405BCFEA3100}"/>
    <dataValidation allowBlank="1" showInputMessage="1" showErrorMessage="1" promptTitle="Purchase Order (PO) Number" prompt="If the item was purchased by MSH, enter the Purchase Order (PO) number here. If item was transfered directly from the donor, or donated by another organization, enter &quot;N/A&quot; for 'Not Applicable'" sqref="R2:R7" xr:uid="{61537877-38E2-4640-95C3-F463A3F3AE63}"/>
    <dataValidation allowBlank="1" showInputMessage="1" showErrorMessage="1" promptTitle="Description" prompt="Enter a brief description of the item.  If the item was purchased as a package or set containing multiple pieces note that here. Ex: Box of 10 toner cartridges" sqref="D2:H7" xr:uid="{33FB1C67-38D4-4771-A57F-BDDC20C38ADE}"/>
    <dataValidation allowBlank="1" showInputMessage="1" showErrorMessage="1" promptTitle="Age at Acquisition" prompt="If item was purchased by this project/COMU, enter “new”. If item was received  by this project/COMU via donation or transfer from another MSH project or a third party, enter how old the item was when it was received by this project/COMU." sqref="H2:H7" xr:uid="{23150A49-A376-441E-944C-C9404450C6A2}"/>
    <dataValidation allowBlank="1" showInputMessage="1" showErrorMessage="1" promptTitle="Notes/Comments" prompt="Enter any additional notes or comments about this item" sqref="AD2:AD7" xr:uid="{165DC1F0-8040-4A11-9408-FBE103EBCE1C}"/>
    <dataValidation allowBlank="1" showInputMessage="1" showErrorMessage="1" promptTitle="Currency of Purchase" prompt="Enter the currency in which the item was purchased. " sqref="S2:S7 I2:M7" xr:uid="{8DA3FA21-49A0-44F0-871E-3DDFD666316F}"/>
    <dataValidation allowBlank="1" showInputMessage="1" showErrorMessage="1" promptTitle="Manufacturers Serial Number" prompt="Enter the manufacturer's name and  the model number or serial number of the itme (if applicable). To find the model number or serial number check the item itself, the packing list or vendor invoice. If there is no manufacturer serial number enter &quot;none&quot;." sqref="E2:H7" xr:uid="{AA58E749-718F-4749-8BA8-044DA0BD2320}"/>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assets_master_register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LYANI SITTI</dc:creator>
  <cp:lastModifiedBy>LYANI SITTI</cp:lastModifiedBy>
  <dcterms:created xsi:type="dcterms:W3CDTF">2026-04-29T17:27:37Z</dcterms:created>
  <dcterms:modified xsi:type="dcterms:W3CDTF">2026-04-29T18:23:30Z</dcterms:modified>
</cp:coreProperties>
</file>